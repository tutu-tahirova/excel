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2"/>
  </bookViews>
  <sheets>
    <sheet name="Data" sheetId="1" r:id="rId1"/>
    <sheet name="Pivot Table" sheetId="2" r:id="rId2"/>
    <sheet name="Dashboard" sheetId="3" r:id="rId3"/>
  </sheets>
  <definedNames>
    <definedName name="Slicer_Region">#N/A</definedName>
    <definedName name="Slicer_Product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<sst xmlns="http://schemas.openxmlformats.org/spreadsheetml/2006/main" count="191" uniqueCount="42">
  <si>
    <t>Date</t>
  </si>
  <si>
    <t>Region</t>
  </si>
  <si>
    <t>Salesperson</t>
  </si>
  <si>
    <t>Product</t>
  </si>
  <si>
    <t>Quantity</t>
  </si>
  <si>
    <t>Unit Price</t>
  </si>
  <si>
    <t>Total Sales</t>
  </si>
  <si>
    <t>Month</t>
  </si>
  <si>
    <t>Year</t>
  </si>
  <si>
    <t>West</t>
  </si>
  <si>
    <t>Leyla</t>
  </si>
  <si>
    <t>Laptop</t>
  </si>
  <si>
    <t>North</t>
  </si>
  <si>
    <t>Aysel</t>
  </si>
  <si>
    <t>Monitor</t>
  </si>
  <si>
    <t>South</t>
  </si>
  <si>
    <t>Murad</t>
  </si>
  <si>
    <t>Keyboard</t>
  </si>
  <si>
    <t>East</t>
  </si>
  <si>
    <t>Printer</t>
  </si>
  <si>
    <t>Nigar</t>
  </si>
  <si>
    <t>Ali</t>
  </si>
  <si>
    <t>Mouse</t>
  </si>
  <si>
    <t>Kamran</t>
  </si>
  <si>
    <t>Fidan</t>
  </si>
  <si>
    <t>Headset</t>
  </si>
  <si>
    <t>Orxan</t>
  </si>
  <si>
    <t>Sum of Total Sales</t>
  </si>
  <si>
    <t>Grand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</si>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</sst>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178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numFmt numFmtId="178" formatCode="m/d/yyyy;@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[Sales_Raw_Data_50_Rows.xlsx]Pivot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altLang="en-US"/>
              <a:t>Total sales by regions</a:t>
            </a:r>
            <a:endParaRPr lang="az-Latn-AZ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Table'!$B$2:$B$6</c:f>
              <c:numCache>
                <c:formatCode>General</c:formatCode>
                <c:ptCount val="4"/>
                <c:pt idx="0">
                  <c:v>14335</c:v>
                </c:pt>
                <c:pt idx="1">
                  <c:v>81865</c:v>
                </c:pt>
                <c:pt idx="2">
                  <c:v>22580</c:v>
                </c:pt>
                <c:pt idx="3">
                  <c:v>44920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48111623"/>
        <c:axId val="474435433"/>
      </c:barChart>
      <c:catAx>
        <c:axId val="748111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4435433"/>
        <c:crosses val="autoZero"/>
        <c:auto val="1"/>
        <c:lblAlgn val="ctr"/>
        <c:lblOffset val="100"/>
        <c:noMultiLvlLbl val="0"/>
      </c:catAx>
      <c:valAx>
        <c:axId val="4744354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811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700867-86de-455a-8821-0db8b4247f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[Sales_Raw_Data_50_Rows.xlsx]Pivot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altLang="en-US"/>
              <a:t>Total sales by months</a:t>
            </a:r>
            <a:endParaRPr lang="az-Latn-AZ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Table'!$A$12:$A$24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Table'!$B$12:$B$24</c:f>
              <c:numCache>
                <c:formatCode>General</c:formatCode>
                <c:ptCount val="12"/>
                <c:pt idx="0">
                  <c:v>93915</c:v>
                </c:pt>
                <c:pt idx="1">
                  <c:v>16140</c:v>
                </c:pt>
                <c:pt idx="2">
                  <c:v>11400</c:v>
                </c:pt>
                <c:pt idx="3">
                  <c:v>10800</c:v>
                </c:pt>
                <c:pt idx="4">
                  <c:v>5320</c:v>
                </c:pt>
                <c:pt idx="5">
                  <c:v>1840</c:v>
                </c:pt>
                <c:pt idx="6">
                  <c:v>6900</c:v>
                </c:pt>
                <c:pt idx="7">
                  <c:v>7280</c:v>
                </c:pt>
                <c:pt idx="8">
                  <c:v>2450</c:v>
                </c:pt>
                <c:pt idx="9">
                  <c:v>755</c:v>
                </c:pt>
                <c:pt idx="10">
                  <c:v>3300</c:v>
                </c:pt>
                <c:pt idx="11">
                  <c:v>3600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056534"/>
        <c:axId val="53445046"/>
      </c:lineChart>
      <c:catAx>
        <c:axId val="9760565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45046"/>
        <c:crosses val="autoZero"/>
        <c:auto val="1"/>
        <c:lblAlgn val="ctr"/>
        <c:lblOffset val="100"/>
        <c:noMultiLvlLbl val="0"/>
      </c:catAx>
      <c:valAx>
        <c:axId val="534450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60565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3b0b6f-34ef-427b-98b2-0d936c4a475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[Sales_Raw_Data_50_Rows.xlsx]Pivot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  <a:r>
              <a:rPr lang="az-Latn-AZ" altLang="zh-CN"/>
              <a:t> sales by products</a:t>
            </a:r>
            <a:endParaRPr lang="az-Latn-AZ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Table'!$E$2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Table'!$D$3:$D$9</c:f>
              <c:strCache>
                <c:ptCount val="6"/>
                <c:pt idx="0">
                  <c:v>Headset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'Pivot Table'!$E$3:$E$9</c:f>
              <c:numCache>
                <c:formatCode>General</c:formatCode>
                <c:ptCount val="6"/>
                <c:pt idx="0">
                  <c:v>5680</c:v>
                </c:pt>
                <c:pt idx="1">
                  <c:v>4980</c:v>
                </c:pt>
                <c:pt idx="2">
                  <c:v>109200</c:v>
                </c:pt>
                <c:pt idx="3">
                  <c:v>31800</c:v>
                </c:pt>
                <c:pt idx="4">
                  <c:v>600</c:v>
                </c:pt>
                <c:pt idx="5">
                  <c:v>11440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5c6549-0561-4152-a14d-52a701998b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501015</xdr:colOff>
      <xdr:row>5</xdr:row>
      <xdr:rowOff>53975</xdr:rowOff>
    </xdr:from>
    <xdr:to>
      <xdr:col>8</xdr:col>
      <xdr:colOff>450215</xdr:colOff>
      <xdr:row>20</xdr:row>
      <xdr:rowOff>34925</xdr:rowOff>
    </xdr:to>
    <xdr:graphicFrame>
      <xdr:nvGraphicFramePr>
        <xdr:cNvPr id="2" name="Chart 1"/>
        <xdr:cNvGraphicFramePr/>
      </xdr:nvGraphicFramePr>
      <xdr:xfrm>
        <a:off x="501015" y="11207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541655</xdr:colOff>
      <xdr:row>5</xdr:row>
      <xdr:rowOff>38735</xdr:rowOff>
    </xdr:from>
    <xdr:to>
      <xdr:col>17</xdr:col>
      <xdr:colOff>490855</xdr:colOff>
      <xdr:row>20</xdr:row>
      <xdr:rowOff>19685</xdr:rowOff>
    </xdr:to>
    <xdr:graphicFrame>
      <xdr:nvGraphicFramePr>
        <xdr:cNvPr id="3" name="Chart 2"/>
        <xdr:cNvGraphicFramePr/>
      </xdr:nvGraphicFramePr>
      <xdr:xfrm>
        <a:off x="7412355" y="11055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191135</xdr:colOff>
      <xdr:row>23</xdr:row>
      <xdr:rowOff>33655</xdr:rowOff>
    </xdr:from>
    <xdr:to>
      <xdr:col>13</xdr:col>
      <xdr:colOff>140335</xdr:colOff>
      <xdr:row>38</xdr:row>
      <xdr:rowOff>14605</xdr:rowOff>
    </xdr:to>
    <xdr:graphicFrame>
      <xdr:nvGraphicFramePr>
        <xdr:cNvPr id="4" name="Chart 3" descr="7b0a202020202263686172745265734964223a20223230343735393537220a7d0a"/>
        <xdr:cNvGraphicFramePr/>
      </xdr:nvGraphicFramePr>
      <xdr:xfrm>
        <a:off x="3239135" y="4415155"/>
        <a:ext cx="62103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158750</xdr:colOff>
      <xdr:row>22</xdr:row>
      <xdr:rowOff>55245</xdr:rowOff>
    </xdr:from>
    <xdr:to>
      <xdr:col>17</xdr:col>
      <xdr:colOff>167640</xdr:colOff>
      <xdr:row>35</xdr:row>
      <xdr:rowOff>83820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77450" y="4252595"/>
              <a:ext cx="1837690" cy="242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8890</xdr:colOff>
      <xdr:row>23</xdr:row>
      <xdr:rowOff>62230</xdr:rowOff>
    </xdr:from>
    <xdr:to>
      <xdr:col>4</xdr:col>
      <xdr:colOff>12065</xdr:colOff>
      <xdr:row>36</xdr:row>
      <xdr:rowOff>94615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8490" y="4443730"/>
              <a:ext cx="1831975" cy="2426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8.5641203704" refreshedBy="Hp" recordCount="50">
  <cacheSource type="worksheet">
    <worksheetSource ref="A1:I51" sheet="Data"/>
  </cacheSource>
  <cacheFields count="9">
    <cacheField name="Date" numFmtId="0">
      <sharedItems containsSemiMixedTypes="0" containsString="0" containsNonDate="0" containsDate="1" minDate="2026-01-01T00:00:00" maxDate="2026-12-01T00:00:00" count="31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</sharedItems>
    </cacheField>
    <cacheField name="Region" numFmtId="0">
      <sharedItems count="4">
        <s v="West"/>
        <s v="North"/>
        <s v="South"/>
        <s v="East"/>
      </sharedItems>
    </cacheField>
    <cacheField name="Salesperson" numFmtId="0">
      <sharedItems count="8">
        <s v="Leyla"/>
        <s v="Aysel"/>
        <s v="Murad"/>
        <s v="Nigar"/>
        <s v="Ali"/>
        <s v="Kamran"/>
        <s v="Fidan"/>
        <s v="Orxan"/>
      </sharedItems>
    </cacheField>
    <cacheField name="Product" numFmtId="0">
      <sharedItems count="6">
        <s v="Laptop"/>
        <s v="Monitor"/>
        <s v="Keyboard"/>
        <s v="Printer"/>
        <s v="Mouse"/>
        <s v="Headset"/>
      </sharedItems>
    </cacheField>
    <cacheField name="Quantity" numFmtId="0">
      <sharedItems containsSemiMixedTypes="0" containsString="0" containsNumber="1" containsInteger="1" minValue="1" maxValue="15" count="15">
        <n v="9"/>
        <n v="13"/>
        <n v="5"/>
        <n v="10"/>
        <n v="1"/>
        <n v="2"/>
        <n v="7"/>
        <n v="14"/>
        <n v="11"/>
        <n v="4"/>
        <n v="8"/>
        <n v="12"/>
        <n v="15"/>
        <n v="6"/>
        <n v="3"/>
      </sharedItems>
    </cacheField>
    <cacheField name="Unit Price" numFmtId="0">
      <sharedItems containsSemiMixedTypes="0" containsString="0" containsNumber="1" containsInteger="1" minValue="25" maxValue="1200" count="6">
        <n v="1200"/>
        <n v="300"/>
        <n v="60"/>
        <n v="220"/>
        <n v="25"/>
        <n v="80"/>
      </sharedItems>
    </cacheField>
    <cacheField name="Total Sales" numFmtId="0">
      <sharedItems containsSemiMixedTypes="0" containsString="0" containsNumber="1" containsInteger="1" minValue="25" maxValue="16800" count="34">
        <n v="10800"/>
        <n v="3900"/>
        <n v="780"/>
        <n v="6000"/>
        <n v="600"/>
        <n v="220"/>
        <n v="2400"/>
        <n v="225"/>
        <n v="2100"/>
        <n v="120"/>
        <n v="25"/>
        <n v="1540"/>
        <n v="840"/>
        <n v="13200"/>
        <n v="1200"/>
        <n v="400"/>
        <n v="16800"/>
        <n v="640"/>
        <n v="15600"/>
        <n v="4200"/>
        <n v="3600"/>
        <n v="1120"/>
        <n v="3300"/>
        <n v="3080"/>
        <n v="480"/>
        <n v="60"/>
        <n v="240"/>
        <n v="2700"/>
        <n v="960"/>
        <n v="720"/>
        <n v="540"/>
        <n v="7200"/>
        <n v="50"/>
        <n v="275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Year" numFmtId="0">
      <sharedItems containsSemiMixedTypes="0" containsString="0" containsNumber="1" containsInteger="1" minValue="2026" maxValue="2026" count="1">
        <n v="2026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0"/>
  </r>
  <r>
    <x v="2"/>
    <x v="2"/>
    <x v="2"/>
    <x v="2"/>
    <x v="1"/>
    <x v="2"/>
    <x v="2"/>
    <x v="0"/>
    <x v="0"/>
  </r>
  <r>
    <x v="3"/>
    <x v="0"/>
    <x v="1"/>
    <x v="0"/>
    <x v="2"/>
    <x v="0"/>
    <x v="3"/>
    <x v="0"/>
    <x v="0"/>
  </r>
  <r>
    <x v="4"/>
    <x v="3"/>
    <x v="2"/>
    <x v="2"/>
    <x v="3"/>
    <x v="2"/>
    <x v="4"/>
    <x v="0"/>
    <x v="0"/>
  </r>
  <r>
    <x v="5"/>
    <x v="3"/>
    <x v="1"/>
    <x v="3"/>
    <x v="4"/>
    <x v="3"/>
    <x v="5"/>
    <x v="0"/>
    <x v="0"/>
  </r>
  <r>
    <x v="6"/>
    <x v="3"/>
    <x v="3"/>
    <x v="0"/>
    <x v="5"/>
    <x v="0"/>
    <x v="6"/>
    <x v="0"/>
    <x v="0"/>
  </r>
  <r>
    <x v="7"/>
    <x v="3"/>
    <x v="4"/>
    <x v="4"/>
    <x v="0"/>
    <x v="4"/>
    <x v="7"/>
    <x v="0"/>
    <x v="0"/>
  </r>
  <r>
    <x v="8"/>
    <x v="1"/>
    <x v="5"/>
    <x v="1"/>
    <x v="6"/>
    <x v="1"/>
    <x v="8"/>
    <x v="0"/>
    <x v="0"/>
  </r>
  <r>
    <x v="9"/>
    <x v="0"/>
    <x v="5"/>
    <x v="2"/>
    <x v="5"/>
    <x v="2"/>
    <x v="9"/>
    <x v="0"/>
    <x v="0"/>
  </r>
  <r>
    <x v="10"/>
    <x v="1"/>
    <x v="0"/>
    <x v="4"/>
    <x v="4"/>
    <x v="4"/>
    <x v="10"/>
    <x v="0"/>
    <x v="0"/>
  </r>
  <r>
    <x v="11"/>
    <x v="2"/>
    <x v="6"/>
    <x v="3"/>
    <x v="6"/>
    <x v="3"/>
    <x v="11"/>
    <x v="0"/>
    <x v="0"/>
  </r>
  <r>
    <x v="12"/>
    <x v="3"/>
    <x v="0"/>
    <x v="2"/>
    <x v="7"/>
    <x v="2"/>
    <x v="12"/>
    <x v="0"/>
    <x v="0"/>
  </r>
  <r>
    <x v="13"/>
    <x v="0"/>
    <x v="2"/>
    <x v="0"/>
    <x v="8"/>
    <x v="0"/>
    <x v="13"/>
    <x v="0"/>
    <x v="0"/>
  </r>
  <r>
    <x v="14"/>
    <x v="3"/>
    <x v="2"/>
    <x v="1"/>
    <x v="9"/>
    <x v="1"/>
    <x v="14"/>
    <x v="0"/>
    <x v="0"/>
  </r>
  <r>
    <x v="15"/>
    <x v="1"/>
    <x v="2"/>
    <x v="0"/>
    <x v="0"/>
    <x v="0"/>
    <x v="0"/>
    <x v="0"/>
    <x v="0"/>
  </r>
  <r>
    <x v="16"/>
    <x v="3"/>
    <x v="5"/>
    <x v="5"/>
    <x v="2"/>
    <x v="5"/>
    <x v="15"/>
    <x v="0"/>
    <x v="0"/>
  </r>
  <r>
    <x v="17"/>
    <x v="0"/>
    <x v="6"/>
    <x v="0"/>
    <x v="0"/>
    <x v="0"/>
    <x v="0"/>
    <x v="0"/>
    <x v="0"/>
  </r>
  <r>
    <x v="18"/>
    <x v="1"/>
    <x v="1"/>
    <x v="2"/>
    <x v="7"/>
    <x v="2"/>
    <x v="12"/>
    <x v="0"/>
    <x v="0"/>
  </r>
  <r>
    <x v="19"/>
    <x v="1"/>
    <x v="2"/>
    <x v="0"/>
    <x v="7"/>
    <x v="0"/>
    <x v="16"/>
    <x v="0"/>
    <x v="0"/>
  </r>
  <r>
    <x v="0"/>
    <x v="2"/>
    <x v="0"/>
    <x v="5"/>
    <x v="10"/>
    <x v="5"/>
    <x v="17"/>
    <x v="0"/>
    <x v="0"/>
  </r>
  <r>
    <x v="20"/>
    <x v="1"/>
    <x v="4"/>
    <x v="0"/>
    <x v="1"/>
    <x v="0"/>
    <x v="18"/>
    <x v="1"/>
    <x v="0"/>
  </r>
  <r>
    <x v="21"/>
    <x v="1"/>
    <x v="6"/>
    <x v="1"/>
    <x v="7"/>
    <x v="1"/>
    <x v="19"/>
    <x v="2"/>
    <x v="0"/>
  </r>
  <r>
    <x v="22"/>
    <x v="1"/>
    <x v="4"/>
    <x v="1"/>
    <x v="11"/>
    <x v="1"/>
    <x v="20"/>
    <x v="3"/>
    <x v="0"/>
  </r>
  <r>
    <x v="23"/>
    <x v="1"/>
    <x v="1"/>
    <x v="5"/>
    <x v="7"/>
    <x v="5"/>
    <x v="21"/>
    <x v="4"/>
    <x v="0"/>
  </r>
  <r>
    <x v="24"/>
    <x v="0"/>
    <x v="3"/>
    <x v="5"/>
    <x v="7"/>
    <x v="5"/>
    <x v="21"/>
    <x v="5"/>
    <x v="0"/>
  </r>
  <r>
    <x v="25"/>
    <x v="2"/>
    <x v="6"/>
    <x v="3"/>
    <x v="12"/>
    <x v="3"/>
    <x v="22"/>
    <x v="6"/>
    <x v="0"/>
  </r>
  <r>
    <x v="26"/>
    <x v="1"/>
    <x v="5"/>
    <x v="3"/>
    <x v="7"/>
    <x v="3"/>
    <x v="23"/>
    <x v="7"/>
    <x v="0"/>
  </r>
  <r>
    <x v="27"/>
    <x v="0"/>
    <x v="7"/>
    <x v="0"/>
    <x v="5"/>
    <x v="0"/>
    <x v="6"/>
    <x v="8"/>
    <x v="0"/>
  </r>
  <r>
    <x v="28"/>
    <x v="2"/>
    <x v="7"/>
    <x v="5"/>
    <x v="13"/>
    <x v="5"/>
    <x v="24"/>
    <x v="9"/>
    <x v="0"/>
  </r>
  <r>
    <x v="29"/>
    <x v="2"/>
    <x v="3"/>
    <x v="3"/>
    <x v="12"/>
    <x v="3"/>
    <x v="22"/>
    <x v="10"/>
    <x v="0"/>
  </r>
  <r>
    <x v="30"/>
    <x v="2"/>
    <x v="3"/>
    <x v="1"/>
    <x v="11"/>
    <x v="1"/>
    <x v="20"/>
    <x v="11"/>
    <x v="0"/>
  </r>
  <r>
    <x v="12"/>
    <x v="1"/>
    <x v="3"/>
    <x v="0"/>
    <x v="5"/>
    <x v="0"/>
    <x v="6"/>
    <x v="0"/>
    <x v="0"/>
  </r>
  <r>
    <x v="13"/>
    <x v="3"/>
    <x v="6"/>
    <x v="1"/>
    <x v="6"/>
    <x v="1"/>
    <x v="8"/>
    <x v="0"/>
    <x v="0"/>
  </r>
  <r>
    <x v="14"/>
    <x v="2"/>
    <x v="2"/>
    <x v="2"/>
    <x v="4"/>
    <x v="2"/>
    <x v="25"/>
    <x v="0"/>
    <x v="0"/>
  </r>
  <r>
    <x v="15"/>
    <x v="1"/>
    <x v="0"/>
    <x v="5"/>
    <x v="14"/>
    <x v="5"/>
    <x v="26"/>
    <x v="0"/>
    <x v="0"/>
  </r>
  <r>
    <x v="16"/>
    <x v="3"/>
    <x v="7"/>
    <x v="1"/>
    <x v="0"/>
    <x v="1"/>
    <x v="27"/>
    <x v="0"/>
    <x v="0"/>
  </r>
  <r>
    <x v="17"/>
    <x v="2"/>
    <x v="4"/>
    <x v="5"/>
    <x v="11"/>
    <x v="5"/>
    <x v="28"/>
    <x v="0"/>
    <x v="0"/>
  </r>
  <r>
    <x v="18"/>
    <x v="0"/>
    <x v="1"/>
    <x v="2"/>
    <x v="10"/>
    <x v="2"/>
    <x v="24"/>
    <x v="0"/>
    <x v="0"/>
  </r>
  <r>
    <x v="19"/>
    <x v="1"/>
    <x v="5"/>
    <x v="4"/>
    <x v="4"/>
    <x v="4"/>
    <x v="10"/>
    <x v="0"/>
    <x v="0"/>
  </r>
  <r>
    <x v="0"/>
    <x v="1"/>
    <x v="5"/>
    <x v="2"/>
    <x v="11"/>
    <x v="2"/>
    <x v="29"/>
    <x v="0"/>
    <x v="0"/>
  </r>
  <r>
    <x v="20"/>
    <x v="1"/>
    <x v="1"/>
    <x v="2"/>
    <x v="0"/>
    <x v="2"/>
    <x v="30"/>
    <x v="1"/>
    <x v="0"/>
  </r>
  <r>
    <x v="21"/>
    <x v="2"/>
    <x v="4"/>
    <x v="0"/>
    <x v="13"/>
    <x v="0"/>
    <x v="31"/>
    <x v="2"/>
    <x v="0"/>
  </r>
  <r>
    <x v="22"/>
    <x v="1"/>
    <x v="2"/>
    <x v="0"/>
    <x v="13"/>
    <x v="0"/>
    <x v="31"/>
    <x v="3"/>
    <x v="0"/>
  </r>
  <r>
    <x v="23"/>
    <x v="1"/>
    <x v="5"/>
    <x v="1"/>
    <x v="7"/>
    <x v="1"/>
    <x v="19"/>
    <x v="4"/>
    <x v="0"/>
  </r>
  <r>
    <x v="24"/>
    <x v="2"/>
    <x v="4"/>
    <x v="5"/>
    <x v="0"/>
    <x v="5"/>
    <x v="29"/>
    <x v="5"/>
    <x v="0"/>
  </r>
  <r>
    <x v="25"/>
    <x v="3"/>
    <x v="2"/>
    <x v="0"/>
    <x v="14"/>
    <x v="0"/>
    <x v="20"/>
    <x v="6"/>
    <x v="0"/>
  </r>
  <r>
    <x v="26"/>
    <x v="1"/>
    <x v="2"/>
    <x v="1"/>
    <x v="7"/>
    <x v="1"/>
    <x v="19"/>
    <x v="7"/>
    <x v="0"/>
  </r>
  <r>
    <x v="27"/>
    <x v="3"/>
    <x v="6"/>
    <x v="4"/>
    <x v="5"/>
    <x v="4"/>
    <x v="32"/>
    <x v="8"/>
    <x v="0"/>
  </r>
  <r>
    <x v="28"/>
    <x v="1"/>
    <x v="6"/>
    <x v="4"/>
    <x v="8"/>
    <x v="4"/>
    <x v="33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6" firstHeaderRow="1" firstDataRow="1" firstDataCol="1"/>
  <pivotFields count="9"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compact="0" showAll="0">
      <items count="9">
        <item x="4"/>
        <item x="1"/>
        <item x="6"/>
        <item x="5"/>
        <item x="0"/>
        <item x="2"/>
        <item x="3"/>
        <item x="7"/>
        <item t="default"/>
      </items>
    </pivotField>
    <pivotField compact="0" showAll="0">
      <items count="7">
        <item x="5"/>
        <item x="2"/>
        <item x="0"/>
        <item x="1"/>
        <item x="4"/>
        <item x="3"/>
        <item t="default"/>
      </items>
    </pivotField>
    <pivotField compact="0" showAll="0">
      <items count="16">
        <item x="4"/>
        <item x="5"/>
        <item x="14"/>
        <item x="9"/>
        <item x="2"/>
        <item x="13"/>
        <item x="6"/>
        <item x="10"/>
        <item x="0"/>
        <item x="3"/>
        <item x="8"/>
        <item x="11"/>
        <item x="1"/>
        <item x="7"/>
        <item x="12"/>
        <item t="default"/>
      </items>
    </pivotField>
    <pivotField compact="0" showAll="0">
      <items count="7">
        <item x="4"/>
        <item x="2"/>
        <item x="5"/>
        <item x="3"/>
        <item x="1"/>
        <item x="0"/>
        <item t="default"/>
      </items>
    </pivotField>
    <pivotField dataField="1" compact="0" showAll="0">
      <items count="35">
        <item x="10"/>
        <item x="32"/>
        <item x="25"/>
        <item x="9"/>
        <item x="5"/>
        <item x="7"/>
        <item x="26"/>
        <item x="33"/>
        <item x="15"/>
        <item x="24"/>
        <item x="30"/>
        <item x="4"/>
        <item x="17"/>
        <item x="29"/>
        <item x="2"/>
        <item x="12"/>
        <item x="28"/>
        <item x="21"/>
        <item x="14"/>
        <item x="11"/>
        <item x="8"/>
        <item x="6"/>
        <item x="27"/>
        <item x="23"/>
        <item x="22"/>
        <item x="20"/>
        <item x="1"/>
        <item x="19"/>
        <item x="3"/>
        <item x="31"/>
        <item x="0"/>
        <item x="13"/>
        <item x="18"/>
        <item x="1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2:E9" firstHeaderRow="1" firstDataRow="1" firstDataCol="1"/>
  <pivotFields count="9"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9">
        <item x="4"/>
        <item x="1"/>
        <item x="6"/>
        <item x="5"/>
        <item x="0"/>
        <item x="2"/>
        <item x="3"/>
        <item x="7"/>
        <item t="default"/>
      </items>
    </pivotField>
    <pivotField axis="axisRow" compact="0" showAll="0">
      <items count="7">
        <item x="5"/>
        <item x="2"/>
        <item x="0"/>
        <item x="1"/>
        <item x="4"/>
        <item x="3"/>
        <item t="default"/>
      </items>
    </pivotField>
    <pivotField compact="0" showAll="0">
      <items count="16">
        <item x="4"/>
        <item x="5"/>
        <item x="14"/>
        <item x="9"/>
        <item x="2"/>
        <item x="13"/>
        <item x="6"/>
        <item x="10"/>
        <item x="0"/>
        <item x="3"/>
        <item x="8"/>
        <item x="11"/>
        <item x="1"/>
        <item x="7"/>
        <item x="12"/>
        <item t="default"/>
      </items>
    </pivotField>
    <pivotField compact="0" showAll="0">
      <items count="7">
        <item x="4"/>
        <item x="2"/>
        <item x="5"/>
        <item x="3"/>
        <item x="1"/>
        <item x="0"/>
        <item t="default"/>
      </items>
    </pivotField>
    <pivotField dataField="1" compact="0" showAll="0">
      <items count="35">
        <item x="10"/>
        <item x="32"/>
        <item x="25"/>
        <item x="9"/>
        <item x="5"/>
        <item x="7"/>
        <item x="26"/>
        <item x="33"/>
        <item x="15"/>
        <item x="24"/>
        <item x="30"/>
        <item x="4"/>
        <item x="17"/>
        <item x="29"/>
        <item x="2"/>
        <item x="12"/>
        <item x="28"/>
        <item x="21"/>
        <item x="14"/>
        <item x="11"/>
        <item x="8"/>
        <item x="6"/>
        <item x="27"/>
        <item x="23"/>
        <item x="22"/>
        <item x="20"/>
        <item x="1"/>
        <item x="19"/>
        <item x="3"/>
        <item x="31"/>
        <item x="0"/>
        <item x="13"/>
        <item x="18"/>
        <item x="1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2">
        <item x="0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1:B24" firstHeaderRow="1" firstDataRow="1" firstDataCol="1"/>
  <pivotFields count="9"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9">
        <item x="4"/>
        <item x="1"/>
        <item x="6"/>
        <item x="5"/>
        <item x="0"/>
        <item x="2"/>
        <item x="3"/>
        <item x="7"/>
        <item t="default"/>
      </items>
    </pivotField>
    <pivotField compact="0" showAll="0">
      <items count="7">
        <item x="5"/>
        <item x="2"/>
        <item x="0"/>
        <item x="1"/>
        <item x="4"/>
        <item x="3"/>
        <item t="default"/>
      </items>
    </pivotField>
    <pivotField compact="0" showAll="0">
      <items count="16">
        <item x="4"/>
        <item x="5"/>
        <item x="14"/>
        <item x="9"/>
        <item x="2"/>
        <item x="13"/>
        <item x="6"/>
        <item x="10"/>
        <item x="0"/>
        <item x="3"/>
        <item x="8"/>
        <item x="11"/>
        <item x="1"/>
        <item x="7"/>
        <item x="12"/>
        <item t="default"/>
      </items>
    </pivotField>
    <pivotField compact="0" showAll="0">
      <items count="7">
        <item x="4"/>
        <item x="2"/>
        <item x="5"/>
        <item x="3"/>
        <item x="1"/>
        <item x="0"/>
        <item t="default"/>
      </items>
    </pivotField>
    <pivotField dataField="1" compact="0" showAll="0">
      <items count="35">
        <item x="10"/>
        <item x="32"/>
        <item x="25"/>
        <item x="9"/>
        <item x="5"/>
        <item x="7"/>
        <item x="26"/>
        <item x="33"/>
        <item x="15"/>
        <item x="24"/>
        <item x="30"/>
        <item x="4"/>
        <item x="17"/>
        <item x="29"/>
        <item x="2"/>
        <item x="12"/>
        <item x="28"/>
        <item x="21"/>
        <item x="14"/>
        <item x="11"/>
        <item x="8"/>
        <item x="6"/>
        <item x="27"/>
        <item x="23"/>
        <item x="22"/>
        <item x="20"/>
        <item x="1"/>
        <item x="19"/>
        <item x="3"/>
        <item x="31"/>
        <item x="0"/>
        <item x="13"/>
        <item x="18"/>
        <item x="16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2">
        <item x="0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2"/>
  </pivotTables>
  <data>
    <tabular pivotCacheId="1">
      <items count="4">
        <i x="3" s="1"/>
        <i x="1" s="1"/>
        <i x="2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2" name="PivotTable2"/>
    <pivotTable tabId="2" name="PivotTable1"/>
    <pivotTable tabId="2" name="PivotTable3"/>
  </pivotTables>
  <data>
    <tabular pivotCacheId="1">
      <items count="6">
        <i x="5" s="1"/>
        <i x="2" s="1"/>
        <i x="0" s="1"/>
        <i x="1" s="1"/>
        <i x="4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Product" cache="Slicer_Product" caption="Product" rowHeight="225425"/>
</slicers>
</file>

<file path=xl/tables/table1.xml><?xml version="1.0" encoding="utf-8"?>
<table xmlns="http://schemas.openxmlformats.org/spreadsheetml/2006/main" id="1" name="SalesData" displayName="SalesData" ref="A1:I51" totalsRowShown="0">
  <autoFilter xmlns:etc="http://www.wps.cn/officeDocument/2017/etCustomData" ref="A1:I51" etc:filterBottomFollowUsedRange="0"/>
  <tableColumns count="9">
    <tableColumn id="1" name="Date" dataDxfId="0"/>
    <tableColumn id="2" name="Region"/>
    <tableColumn id="3" name="Salesperson"/>
    <tableColumn id="4" name="Product"/>
    <tableColumn id="5" name="Quantity" dataDxfId="1"/>
    <tableColumn id="6" name="Unit Price" dataDxfId="2"/>
    <tableColumn id="7" name="Total Sales" dataDxfId="3"/>
    <tableColumn id="8" name="Month" dataDxfId="4">
      <calculatedColumnFormula>TEXT(A2,"mmmm")</calculatedColumnFormula>
    </tableColumn>
    <tableColumn id="10" name="Year" dataDxfId="5">
      <calculatedColumnFormula>YEAR(A2)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workbookViewId="0">
      <selection activeCell="I2" sqref="I2:I51"/>
    </sheetView>
  </sheetViews>
  <sheetFormatPr defaultColWidth="9" defaultRowHeight="14.5"/>
  <cols>
    <col min="1" max="1" width="11.3636363636364" customWidth="1"/>
    <col min="3" max="3" width="11.8181818181818" customWidth="1"/>
    <col min="8" max="8" width="11.363636363636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>
        <v>46023</v>
      </c>
      <c r="B2" t="s">
        <v>9</v>
      </c>
      <c r="C2" t="s">
        <v>10</v>
      </c>
      <c r="D2" t="s">
        <v>11</v>
      </c>
      <c r="E2" s="3">
        <v>9</v>
      </c>
      <c r="F2" s="3">
        <v>1200</v>
      </c>
      <c r="G2" s="3">
        <v>10800</v>
      </c>
      <c r="H2" s="4" t="str">
        <f t="shared" ref="H2:H33" si="0">TEXT(A2,"mmmm")</f>
        <v>January</v>
      </c>
      <c r="I2" s="4">
        <f t="shared" ref="I2:I33" si="1">YEAR(A2)</f>
        <v>2026</v>
      </c>
    </row>
    <row r="3" spans="1:9">
      <c r="A3" s="2">
        <v>46024</v>
      </c>
      <c r="B3" t="s">
        <v>12</v>
      </c>
      <c r="C3" t="s">
        <v>13</v>
      </c>
      <c r="D3" t="s">
        <v>14</v>
      </c>
      <c r="E3" s="3">
        <v>13</v>
      </c>
      <c r="F3" s="3">
        <v>300</v>
      </c>
      <c r="G3" s="3">
        <v>3900</v>
      </c>
      <c r="H3" s="4" t="str">
        <f t="shared" si="0"/>
        <v>January</v>
      </c>
      <c r="I3" s="4">
        <f t="shared" si="1"/>
        <v>2026</v>
      </c>
    </row>
    <row r="4" spans="1:9">
      <c r="A4" s="2">
        <v>46025</v>
      </c>
      <c r="B4" t="s">
        <v>15</v>
      </c>
      <c r="C4" t="s">
        <v>16</v>
      </c>
      <c r="D4" t="s">
        <v>17</v>
      </c>
      <c r="E4" s="3">
        <v>13</v>
      </c>
      <c r="F4" s="3">
        <v>60</v>
      </c>
      <c r="G4" s="3">
        <v>780</v>
      </c>
      <c r="H4" s="4" t="str">
        <f t="shared" si="0"/>
        <v>January</v>
      </c>
      <c r="I4" s="4">
        <f t="shared" si="1"/>
        <v>2026</v>
      </c>
    </row>
    <row r="5" spans="1:9">
      <c r="A5" s="2">
        <v>46026</v>
      </c>
      <c r="B5" t="s">
        <v>9</v>
      </c>
      <c r="C5" t="s">
        <v>13</v>
      </c>
      <c r="D5" t="s">
        <v>11</v>
      </c>
      <c r="E5" s="3">
        <v>5</v>
      </c>
      <c r="F5" s="3">
        <v>1200</v>
      </c>
      <c r="G5" s="3">
        <v>6000</v>
      </c>
      <c r="H5" s="4" t="str">
        <f t="shared" si="0"/>
        <v>January</v>
      </c>
      <c r="I5" s="4">
        <f t="shared" si="1"/>
        <v>2026</v>
      </c>
    </row>
    <row r="6" spans="1:9">
      <c r="A6" s="2">
        <v>46027</v>
      </c>
      <c r="B6" t="s">
        <v>18</v>
      </c>
      <c r="C6" t="s">
        <v>16</v>
      </c>
      <c r="D6" t="s">
        <v>17</v>
      </c>
      <c r="E6" s="3">
        <v>10</v>
      </c>
      <c r="F6" s="3">
        <v>60</v>
      </c>
      <c r="G6" s="3">
        <v>600</v>
      </c>
      <c r="H6" s="4" t="str">
        <f t="shared" si="0"/>
        <v>January</v>
      </c>
      <c r="I6" s="4">
        <f t="shared" si="1"/>
        <v>2026</v>
      </c>
    </row>
    <row r="7" spans="1:9">
      <c r="A7" s="2">
        <v>46028</v>
      </c>
      <c r="B7" t="s">
        <v>18</v>
      </c>
      <c r="C7" t="s">
        <v>13</v>
      </c>
      <c r="D7" t="s">
        <v>19</v>
      </c>
      <c r="E7" s="3">
        <v>1</v>
      </c>
      <c r="F7" s="3">
        <v>220</v>
      </c>
      <c r="G7" s="3">
        <v>220</v>
      </c>
      <c r="H7" s="4" t="str">
        <f t="shared" si="0"/>
        <v>January</v>
      </c>
      <c r="I7" s="4">
        <f t="shared" si="1"/>
        <v>2026</v>
      </c>
    </row>
    <row r="8" spans="1:9">
      <c r="A8" s="2">
        <v>46029</v>
      </c>
      <c r="B8" t="s">
        <v>18</v>
      </c>
      <c r="C8" t="s">
        <v>20</v>
      </c>
      <c r="D8" t="s">
        <v>11</v>
      </c>
      <c r="E8" s="3">
        <v>2</v>
      </c>
      <c r="F8" s="3">
        <v>1200</v>
      </c>
      <c r="G8" s="3">
        <v>2400</v>
      </c>
      <c r="H8" s="4" t="str">
        <f t="shared" si="0"/>
        <v>January</v>
      </c>
      <c r="I8" s="4">
        <f t="shared" si="1"/>
        <v>2026</v>
      </c>
    </row>
    <row r="9" spans="1:9">
      <c r="A9" s="2">
        <v>46030</v>
      </c>
      <c r="B9" t="s">
        <v>18</v>
      </c>
      <c r="C9" t="s">
        <v>21</v>
      </c>
      <c r="D9" t="s">
        <v>22</v>
      </c>
      <c r="E9" s="3">
        <v>9</v>
      </c>
      <c r="F9" s="3">
        <v>25</v>
      </c>
      <c r="G9" s="3">
        <v>225</v>
      </c>
      <c r="H9" s="4" t="str">
        <f t="shared" si="0"/>
        <v>January</v>
      </c>
      <c r="I9" s="4">
        <f t="shared" si="1"/>
        <v>2026</v>
      </c>
    </row>
    <row r="10" spans="1:9">
      <c r="A10" s="2">
        <v>46031</v>
      </c>
      <c r="B10" t="s">
        <v>12</v>
      </c>
      <c r="C10" t="s">
        <v>23</v>
      </c>
      <c r="D10" t="s">
        <v>14</v>
      </c>
      <c r="E10" s="3">
        <v>7</v>
      </c>
      <c r="F10" s="3">
        <v>300</v>
      </c>
      <c r="G10" s="3">
        <v>2100</v>
      </c>
      <c r="H10" s="4" t="str">
        <f t="shared" si="0"/>
        <v>January</v>
      </c>
      <c r="I10" s="4">
        <f t="shared" si="1"/>
        <v>2026</v>
      </c>
    </row>
    <row r="11" spans="1:9">
      <c r="A11" s="2">
        <v>46032</v>
      </c>
      <c r="B11" t="s">
        <v>9</v>
      </c>
      <c r="C11" t="s">
        <v>23</v>
      </c>
      <c r="D11" t="s">
        <v>17</v>
      </c>
      <c r="E11" s="3">
        <v>2</v>
      </c>
      <c r="F11" s="3">
        <v>60</v>
      </c>
      <c r="G11" s="3">
        <v>120</v>
      </c>
      <c r="H11" s="4" t="str">
        <f t="shared" si="0"/>
        <v>January</v>
      </c>
      <c r="I11" s="4">
        <f t="shared" si="1"/>
        <v>2026</v>
      </c>
    </row>
    <row r="12" spans="1:9">
      <c r="A12" s="2">
        <v>46033</v>
      </c>
      <c r="B12" t="s">
        <v>12</v>
      </c>
      <c r="C12" t="s">
        <v>10</v>
      </c>
      <c r="D12" t="s">
        <v>22</v>
      </c>
      <c r="E12" s="3">
        <v>1</v>
      </c>
      <c r="F12" s="3">
        <v>25</v>
      </c>
      <c r="G12" s="3">
        <v>25</v>
      </c>
      <c r="H12" s="4" t="str">
        <f t="shared" si="0"/>
        <v>January</v>
      </c>
      <c r="I12" s="4">
        <f t="shared" si="1"/>
        <v>2026</v>
      </c>
    </row>
    <row r="13" spans="1:9">
      <c r="A13" s="2">
        <v>46034</v>
      </c>
      <c r="B13" t="s">
        <v>15</v>
      </c>
      <c r="C13" t="s">
        <v>24</v>
      </c>
      <c r="D13" t="s">
        <v>19</v>
      </c>
      <c r="E13" s="3">
        <v>7</v>
      </c>
      <c r="F13" s="3">
        <v>220</v>
      </c>
      <c r="G13" s="3">
        <v>1540</v>
      </c>
      <c r="H13" s="4" t="str">
        <f t="shared" si="0"/>
        <v>January</v>
      </c>
      <c r="I13" s="4">
        <f t="shared" si="1"/>
        <v>2026</v>
      </c>
    </row>
    <row r="14" spans="1:9">
      <c r="A14" s="2">
        <v>46035</v>
      </c>
      <c r="B14" t="s">
        <v>18</v>
      </c>
      <c r="C14" t="s">
        <v>10</v>
      </c>
      <c r="D14" t="s">
        <v>17</v>
      </c>
      <c r="E14" s="3">
        <v>14</v>
      </c>
      <c r="F14" s="3">
        <v>60</v>
      </c>
      <c r="G14" s="3">
        <v>840</v>
      </c>
      <c r="H14" s="4" t="str">
        <f t="shared" si="0"/>
        <v>January</v>
      </c>
      <c r="I14" s="4">
        <f t="shared" si="1"/>
        <v>2026</v>
      </c>
    </row>
    <row r="15" spans="1:9">
      <c r="A15" s="2">
        <v>46036</v>
      </c>
      <c r="B15" t="s">
        <v>9</v>
      </c>
      <c r="C15" t="s">
        <v>16</v>
      </c>
      <c r="D15" t="s">
        <v>11</v>
      </c>
      <c r="E15" s="3">
        <v>11</v>
      </c>
      <c r="F15" s="3">
        <v>1200</v>
      </c>
      <c r="G15" s="3">
        <v>13200</v>
      </c>
      <c r="H15" s="4" t="str">
        <f t="shared" si="0"/>
        <v>January</v>
      </c>
      <c r="I15" s="4">
        <f t="shared" si="1"/>
        <v>2026</v>
      </c>
    </row>
    <row r="16" spans="1:9">
      <c r="A16" s="2">
        <v>46037</v>
      </c>
      <c r="B16" t="s">
        <v>18</v>
      </c>
      <c r="C16" t="s">
        <v>16</v>
      </c>
      <c r="D16" t="s">
        <v>14</v>
      </c>
      <c r="E16" s="3">
        <v>4</v>
      </c>
      <c r="F16" s="3">
        <v>300</v>
      </c>
      <c r="G16" s="3">
        <v>1200</v>
      </c>
      <c r="H16" s="4" t="str">
        <f t="shared" si="0"/>
        <v>January</v>
      </c>
      <c r="I16" s="4">
        <f t="shared" si="1"/>
        <v>2026</v>
      </c>
    </row>
    <row r="17" spans="1:9">
      <c r="A17" s="2">
        <v>46038</v>
      </c>
      <c r="B17" t="s">
        <v>12</v>
      </c>
      <c r="C17" t="s">
        <v>16</v>
      </c>
      <c r="D17" t="s">
        <v>11</v>
      </c>
      <c r="E17" s="3">
        <v>9</v>
      </c>
      <c r="F17" s="3">
        <v>1200</v>
      </c>
      <c r="G17" s="3">
        <v>10800</v>
      </c>
      <c r="H17" s="4" t="str">
        <f t="shared" si="0"/>
        <v>January</v>
      </c>
      <c r="I17" s="4">
        <f t="shared" si="1"/>
        <v>2026</v>
      </c>
    </row>
    <row r="18" spans="1:9">
      <c r="A18" s="2">
        <v>46039</v>
      </c>
      <c r="B18" t="s">
        <v>18</v>
      </c>
      <c r="C18" t="s">
        <v>23</v>
      </c>
      <c r="D18" t="s">
        <v>25</v>
      </c>
      <c r="E18" s="3">
        <v>5</v>
      </c>
      <c r="F18" s="3">
        <v>80</v>
      </c>
      <c r="G18" s="3">
        <v>400</v>
      </c>
      <c r="H18" s="4" t="str">
        <f t="shared" si="0"/>
        <v>January</v>
      </c>
      <c r="I18" s="4">
        <f t="shared" si="1"/>
        <v>2026</v>
      </c>
    </row>
    <row r="19" spans="1:9">
      <c r="A19" s="2">
        <v>46040</v>
      </c>
      <c r="B19" t="s">
        <v>9</v>
      </c>
      <c r="C19" t="s">
        <v>24</v>
      </c>
      <c r="D19" t="s">
        <v>11</v>
      </c>
      <c r="E19" s="3">
        <v>9</v>
      </c>
      <c r="F19" s="3">
        <v>1200</v>
      </c>
      <c r="G19" s="3">
        <v>10800</v>
      </c>
      <c r="H19" s="4" t="str">
        <f t="shared" si="0"/>
        <v>January</v>
      </c>
      <c r="I19" s="4">
        <f t="shared" si="1"/>
        <v>2026</v>
      </c>
    </row>
    <row r="20" spans="1:9">
      <c r="A20" s="2">
        <v>46041</v>
      </c>
      <c r="B20" t="s">
        <v>12</v>
      </c>
      <c r="C20" t="s">
        <v>13</v>
      </c>
      <c r="D20" t="s">
        <v>17</v>
      </c>
      <c r="E20" s="3">
        <v>14</v>
      </c>
      <c r="F20" s="3">
        <v>60</v>
      </c>
      <c r="G20" s="3">
        <v>840</v>
      </c>
      <c r="H20" s="4" t="str">
        <f t="shared" si="0"/>
        <v>January</v>
      </c>
      <c r="I20" s="4">
        <f t="shared" si="1"/>
        <v>2026</v>
      </c>
    </row>
    <row r="21" spans="1:9">
      <c r="A21" s="2">
        <v>46042</v>
      </c>
      <c r="B21" t="s">
        <v>12</v>
      </c>
      <c r="C21" t="s">
        <v>16</v>
      </c>
      <c r="D21" t="s">
        <v>11</v>
      </c>
      <c r="E21" s="3">
        <v>14</v>
      </c>
      <c r="F21" s="3">
        <v>1200</v>
      </c>
      <c r="G21" s="3">
        <v>16800</v>
      </c>
      <c r="H21" s="4" t="str">
        <f t="shared" si="0"/>
        <v>January</v>
      </c>
      <c r="I21" s="4">
        <f t="shared" si="1"/>
        <v>2026</v>
      </c>
    </row>
    <row r="22" spans="1:9">
      <c r="A22" s="2">
        <v>46023</v>
      </c>
      <c r="B22" t="s">
        <v>15</v>
      </c>
      <c r="C22" t="s">
        <v>10</v>
      </c>
      <c r="D22" t="s">
        <v>25</v>
      </c>
      <c r="E22" s="3">
        <v>8</v>
      </c>
      <c r="F22" s="3">
        <v>80</v>
      </c>
      <c r="G22" s="3">
        <v>640</v>
      </c>
      <c r="H22" s="4" t="str">
        <f t="shared" si="0"/>
        <v>January</v>
      </c>
      <c r="I22" s="4">
        <f t="shared" si="1"/>
        <v>2026</v>
      </c>
    </row>
    <row r="23" spans="1:9">
      <c r="A23" s="2">
        <v>46054</v>
      </c>
      <c r="B23" t="s">
        <v>12</v>
      </c>
      <c r="C23" t="s">
        <v>21</v>
      </c>
      <c r="D23" t="s">
        <v>11</v>
      </c>
      <c r="E23" s="3">
        <v>13</v>
      </c>
      <c r="F23" s="3">
        <v>1200</v>
      </c>
      <c r="G23" s="3">
        <v>15600</v>
      </c>
      <c r="H23" s="4" t="str">
        <f t="shared" si="0"/>
        <v>February</v>
      </c>
      <c r="I23" s="4">
        <f t="shared" si="1"/>
        <v>2026</v>
      </c>
    </row>
    <row r="24" spans="1:9">
      <c r="A24" s="2">
        <v>46082</v>
      </c>
      <c r="B24" t="s">
        <v>12</v>
      </c>
      <c r="C24" t="s">
        <v>24</v>
      </c>
      <c r="D24" t="s">
        <v>14</v>
      </c>
      <c r="E24" s="3">
        <v>14</v>
      </c>
      <c r="F24" s="3">
        <v>300</v>
      </c>
      <c r="G24" s="3">
        <v>4200</v>
      </c>
      <c r="H24" s="4" t="str">
        <f t="shared" si="0"/>
        <v>March</v>
      </c>
      <c r="I24" s="4">
        <f t="shared" si="1"/>
        <v>2026</v>
      </c>
    </row>
    <row r="25" spans="1:9">
      <c r="A25" s="2">
        <v>46113</v>
      </c>
      <c r="B25" t="s">
        <v>12</v>
      </c>
      <c r="C25" t="s">
        <v>21</v>
      </c>
      <c r="D25" t="s">
        <v>14</v>
      </c>
      <c r="E25" s="3">
        <v>12</v>
      </c>
      <c r="F25" s="3">
        <v>300</v>
      </c>
      <c r="G25" s="3">
        <v>3600</v>
      </c>
      <c r="H25" s="4" t="str">
        <f t="shared" si="0"/>
        <v>April</v>
      </c>
      <c r="I25" s="4">
        <f t="shared" si="1"/>
        <v>2026</v>
      </c>
    </row>
    <row r="26" spans="1:9">
      <c r="A26" s="2">
        <v>46143</v>
      </c>
      <c r="B26" t="s">
        <v>12</v>
      </c>
      <c r="C26" t="s">
        <v>13</v>
      </c>
      <c r="D26" t="s">
        <v>25</v>
      </c>
      <c r="E26" s="3">
        <v>14</v>
      </c>
      <c r="F26" s="3">
        <v>80</v>
      </c>
      <c r="G26" s="3">
        <v>1120</v>
      </c>
      <c r="H26" s="4" t="str">
        <f t="shared" si="0"/>
        <v>May</v>
      </c>
      <c r="I26" s="4">
        <f t="shared" si="1"/>
        <v>2026</v>
      </c>
    </row>
    <row r="27" spans="1:9">
      <c r="A27" s="2">
        <v>46174</v>
      </c>
      <c r="B27" t="s">
        <v>9</v>
      </c>
      <c r="C27" t="s">
        <v>20</v>
      </c>
      <c r="D27" t="s">
        <v>25</v>
      </c>
      <c r="E27" s="3">
        <v>14</v>
      </c>
      <c r="F27" s="3">
        <v>80</v>
      </c>
      <c r="G27" s="3">
        <v>1120</v>
      </c>
      <c r="H27" s="4" t="str">
        <f t="shared" si="0"/>
        <v>June</v>
      </c>
      <c r="I27" s="4">
        <f t="shared" si="1"/>
        <v>2026</v>
      </c>
    </row>
    <row r="28" spans="1:9">
      <c r="A28" s="2">
        <v>46204</v>
      </c>
      <c r="B28" t="s">
        <v>15</v>
      </c>
      <c r="C28" t="s">
        <v>24</v>
      </c>
      <c r="D28" t="s">
        <v>19</v>
      </c>
      <c r="E28" s="3">
        <v>15</v>
      </c>
      <c r="F28" s="3">
        <v>220</v>
      </c>
      <c r="G28" s="3">
        <v>3300</v>
      </c>
      <c r="H28" s="4" t="str">
        <f t="shared" si="0"/>
        <v>July</v>
      </c>
      <c r="I28" s="4">
        <f t="shared" si="1"/>
        <v>2026</v>
      </c>
    </row>
    <row r="29" spans="1:9">
      <c r="A29" s="2">
        <v>46235</v>
      </c>
      <c r="B29" t="s">
        <v>12</v>
      </c>
      <c r="C29" t="s">
        <v>23</v>
      </c>
      <c r="D29" t="s">
        <v>19</v>
      </c>
      <c r="E29" s="3">
        <v>14</v>
      </c>
      <c r="F29" s="3">
        <v>220</v>
      </c>
      <c r="G29" s="3">
        <v>3080</v>
      </c>
      <c r="H29" s="4" t="str">
        <f t="shared" si="0"/>
        <v>August</v>
      </c>
      <c r="I29" s="4">
        <f t="shared" si="1"/>
        <v>2026</v>
      </c>
    </row>
    <row r="30" spans="1:9">
      <c r="A30" s="2">
        <v>46266</v>
      </c>
      <c r="B30" t="s">
        <v>9</v>
      </c>
      <c r="C30" t="s">
        <v>26</v>
      </c>
      <c r="D30" t="s">
        <v>11</v>
      </c>
      <c r="E30" s="3">
        <v>2</v>
      </c>
      <c r="F30" s="3">
        <v>1200</v>
      </c>
      <c r="G30" s="3">
        <v>2400</v>
      </c>
      <c r="H30" s="4" t="str">
        <f t="shared" si="0"/>
        <v>September</v>
      </c>
      <c r="I30" s="4">
        <f t="shared" si="1"/>
        <v>2026</v>
      </c>
    </row>
    <row r="31" spans="1:9">
      <c r="A31" s="2">
        <v>46296</v>
      </c>
      <c r="B31" t="s">
        <v>15</v>
      </c>
      <c r="C31" t="s">
        <v>26</v>
      </c>
      <c r="D31" t="s">
        <v>25</v>
      </c>
      <c r="E31" s="3">
        <v>6</v>
      </c>
      <c r="F31" s="3">
        <v>80</v>
      </c>
      <c r="G31" s="3">
        <v>480</v>
      </c>
      <c r="H31" s="4" t="str">
        <f t="shared" si="0"/>
        <v>October</v>
      </c>
      <c r="I31" s="4">
        <f t="shared" si="1"/>
        <v>2026</v>
      </c>
    </row>
    <row r="32" spans="1:9">
      <c r="A32" s="2">
        <v>46327</v>
      </c>
      <c r="B32" t="s">
        <v>15</v>
      </c>
      <c r="C32" t="s">
        <v>20</v>
      </c>
      <c r="D32" t="s">
        <v>19</v>
      </c>
      <c r="E32" s="3">
        <v>15</v>
      </c>
      <c r="F32" s="3">
        <v>220</v>
      </c>
      <c r="G32" s="3">
        <v>3300</v>
      </c>
      <c r="H32" s="4" t="str">
        <f t="shared" si="0"/>
        <v>November</v>
      </c>
      <c r="I32" s="4">
        <f t="shared" si="1"/>
        <v>2026</v>
      </c>
    </row>
    <row r="33" spans="1:9">
      <c r="A33" s="2">
        <v>46357</v>
      </c>
      <c r="B33" t="s">
        <v>15</v>
      </c>
      <c r="C33" t="s">
        <v>20</v>
      </c>
      <c r="D33" t="s">
        <v>14</v>
      </c>
      <c r="E33" s="3">
        <v>12</v>
      </c>
      <c r="F33" s="3">
        <v>300</v>
      </c>
      <c r="G33" s="3">
        <v>3600</v>
      </c>
      <c r="H33" s="4" t="str">
        <f t="shared" si="0"/>
        <v>December</v>
      </c>
      <c r="I33" s="4">
        <f t="shared" si="1"/>
        <v>2026</v>
      </c>
    </row>
    <row r="34" spans="1:9">
      <c r="A34" s="2">
        <v>46035</v>
      </c>
      <c r="B34" t="s">
        <v>12</v>
      </c>
      <c r="C34" t="s">
        <v>20</v>
      </c>
      <c r="D34" t="s">
        <v>11</v>
      </c>
      <c r="E34" s="3">
        <v>2</v>
      </c>
      <c r="F34" s="3">
        <v>1200</v>
      </c>
      <c r="G34" s="3">
        <v>2400</v>
      </c>
      <c r="H34" s="4" t="str">
        <f t="shared" ref="H34:H51" si="2">TEXT(A34,"mmmm")</f>
        <v>January</v>
      </c>
      <c r="I34" s="4">
        <f t="shared" ref="I34:I51" si="3">YEAR(A34)</f>
        <v>2026</v>
      </c>
    </row>
    <row r="35" spans="1:9">
      <c r="A35" s="2">
        <v>46036</v>
      </c>
      <c r="B35" t="s">
        <v>18</v>
      </c>
      <c r="C35" t="s">
        <v>24</v>
      </c>
      <c r="D35" t="s">
        <v>14</v>
      </c>
      <c r="E35" s="3">
        <v>7</v>
      </c>
      <c r="F35" s="3">
        <v>300</v>
      </c>
      <c r="G35" s="3">
        <v>2100</v>
      </c>
      <c r="H35" s="4" t="str">
        <f t="shared" si="2"/>
        <v>January</v>
      </c>
      <c r="I35" s="4">
        <f t="shared" si="3"/>
        <v>2026</v>
      </c>
    </row>
    <row r="36" spans="1:9">
      <c r="A36" s="2">
        <v>46037</v>
      </c>
      <c r="B36" t="s">
        <v>15</v>
      </c>
      <c r="C36" t="s">
        <v>16</v>
      </c>
      <c r="D36" t="s">
        <v>17</v>
      </c>
      <c r="E36" s="3">
        <v>1</v>
      </c>
      <c r="F36" s="3">
        <v>60</v>
      </c>
      <c r="G36" s="3">
        <v>60</v>
      </c>
      <c r="H36" s="4" t="str">
        <f t="shared" si="2"/>
        <v>January</v>
      </c>
      <c r="I36" s="4">
        <f t="shared" si="3"/>
        <v>2026</v>
      </c>
    </row>
    <row r="37" spans="1:9">
      <c r="A37" s="2">
        <v>46038</v>
      </c>
      <c r="B37" t="s">
        <v>12</v>
      </c>
      <c r="C37" t="s">
        <v>10</v>
      </c>
      <c r="D37" t="s">
        <v>25</v>
      </c>
      <c r="E37" s="3">
        <v>3</v>
      </c>
      <c r="F37" s="3">
        <v>80</v>
      </c>
      <c r="G37" s="3">
        <v>240</v>
      </c>
      <c r="H37" s="4" t="str">
        <f t="shared" si="2"/>
        <v>January</v>
      </c>
      <c r="I37" s="4">
        <f t="shared" si="3"/>
        <v>2026</v>
      </c>
    </row>
    <row r="38" spans="1:9">
      <c r="A38" s="2">
        <v>46039</v>
      </c>
      <c r="B38" t="s">
        <v>18</v>
      </c>
      <c r="C38" t="s">
        <v>26</v>
      </c>
      <c r="D38" t="s">
        <v>14</v>
      </c>
      <c r="E38" s="3">
        <v>9</v>
      </c>
      <c r="F38" s="3">
        <v>300</v>
      </c>
      <c r="G38" s="3">
        <v>2700</v>
      </c>
      <c r="H38" s="4" t="str">
        <f t="shared" si="2"/>
        <v>January</v>
      </c>
      <c r="I38" s="4">
        <f t="shared" si="3"/>
        <v>2026</v>
      </c>
    </row>
    <row r="39" spans="1:9">
      <c r="A39" s="2">
        <v>46040</v>
      </c>
      <c r="B39" t="s">
        <v>15</v>
      </c>
      <c r="C39" t="s">
        <v>21</v>
      </c>
      <c r="D39" t="s">
        <v>25</v>
      </c>
      <c r="E39" s="3">
        <v>12</v>
      </c>
      <c r="F39" s="3">
        <v>80</v>
      </c>
      <c r="G39" s="3">
        <v>960</v>
      </c>
      <c r="H39" s="4" t="str">
        <f t="shared" si="2"/>
        <v>January</v>
      </c>
      <c r="I39" s="4">
        <f t="shared" si="3"/>
        <v>2026</v>
      </c>
    </row>
    <row r="40" spans="1:9">
      <c r="A40" s="2">
        <v>46041</v>
      </c>
      <c r="B40" t="s">
        <v>9</v>
      </c>
      <c r="C40" t="s">
        <v>13</v>
      </c>
      <c r="D40" t="s">
        <v>17</v>
      </c>
      <c r="E40" s="3">
        <v>8</v>
      </c>
      <c r="F40" s="3">
        <v>60</v>
      </c>
      <c r="G40" s="3">
        <v>480</v>
      </c>
      <c r="H40" s="4" t="str">
        <f t="shared" si="2"/>
        <v>January</v>
      </c>
      <c r="I40" s="4">
        <f t="shared" si="3"/>
        <v>2026</v>
      </c>
    </row>
    <row r="41" spans="1:9">
      <c r="A41" s="2">
        <v>46042</v>
      </c>
      <c r="B41" t="s">
        <v>12</v>
      </c>
      <c r="C41" t="s">
        <v>23</v>
      </c>
      <c r="D41" t="s">
        <v>22</v>
      </c>
      <c r="E41" s="3">
        <v>1</v>
      </c>
      <c r="F41" s="3">
        <v>25</v>
      </c>
      <c r="G41" s="3">
        <v>25</v>
      </c>
      <c r="H41" s="4" t="str">
        <f t="shared" si="2"/>
        <v>January</v>
      </c>
      <c r="I41" s="4">
        <f t="shared" si="3"/>
        <v>2026</v>
      </c>
    </row>
    <row r="42" spans="1:9">
      <c r="A42" s="2">
        <v>46023</v>
      </c>
      <c r="B42" t="s">
        <v>12</v>
      </c>
      <c r="C42" t="s">
        <v>23</v>
      </c>
      <c r="D42" t="s">
        <v>17</v>
      </c>
      <c r="E42" s="3">
        <v>12</v>
      </c>
      <c r="F42" s="3">
        <v>60</v>
      </c>
      <c r="G42" s="3">
        <v>720</v>
      </c>
      <c r="H42" s="4" t="str">
        <f t="shared" si="2"/>
        <v>January</v>
      </c>
      <c r="I42" s="4">
        <f t="shared" si="3"/>
        <v>2026</v>
      </c>
    </row>
    <row r="43" spans="1:9">
      <c r="A43" s="2">
        <v>46054</v>
      </c>
      <c r="B43" t="s">
        <v>12</v>
      </c>
      <c r="C43" t="s">
        <v>13</v>
      </c>
      <c r="D43" t="s">
        <v>17</v>
      </c>
      <c r="E43" s="3">
        <v>9</v>
      </c>
      <c r="F43" s="3">
        <v>60</v>
      </c>
      <c r="G43" s="3">
        <v>540</v>
      </c>
      <c r="H43" s="4" t="str">
        <f t="shared" si="2"/>
        <v>February</v>
      </c>
      <c r="I43" s="4">
        <f t="shared" si="3"/>
        <v>2026</v>
      </c>
    </row>
    <row r="44" spans="1:9">
      <c r="A44" s="2">
        <v>46082</v>
      </c>
      <c r="B44" t="s">
        <v>15</v>
      </c>
      <c r="C44" t="s">
        <v>21</v>
      </c>
      <c r="D44" t="s">
        <v>11</v>
      </c>
      <c r="E44" s="3">
        <v>6</v>
      </c>
      <c r="F44" s="3">
        <v>1200</v>
      </c>
      <c r="G44" s="3">
        <v>7200</v>
      </c>
      <c r="H44" s="4" t="str">
        <f t="shared" si="2"/>
        <v>March</v>
      </c>
      <c r="I44" s="4">
        <f t="shared" si="3"/>
        <v>2026</v>
      </c>
    </row>
    <row r="45" spans="1:9">
      <c r="A45" s="2">
        <v>46113</v>
      </c>
      <c r="B45" t="s">
        <v>12</v>
      </c>
      <c r="C45" t="s">
        <v>16</v>
      </c>
      <c r="D45" t="s">
        <v>11</v>
      </c>
      <c r="E45" s="3">
        <v>6</v>
      </c>
      <c r="F45" s="3">
        <v>1200</v>
      </c>
      <c r="G45" s="3">
        <v>7200</v>
      </c>
      <c r="H45" s="4" t="str">
        <f t="shared" si="2"/>
        <v>April</v>
      </c>
      <c r="I45" s="4">
        <f t="shared" si="3"/>
        <v>2026</v>
      </c>
    </row>
    <row r="46" spans="1:9">
      <c r="A46" s="2">
        <v>46143</v>
      </c>
      <c r="B46" t="s">
        <v>12</v>
      </c>
      <c r="C46" t="s">
        <v>23</v>
      </c>
      <c r="D46" t="s">
        <v>14</v>
      </c>
      <c r="E46" s="3">
        <v>14</v>
      </c>
      <c r="F46" s="3">
        <v>300</v>
      </c>
      <c r="G46" s="3">
        <v>4200</v>
      </c>
      <c r="H46" s="4" t="str">
        <f t="shared" si="2"/>
        <v>May</v>
      </c>
      <c r="I46" s="4">
        <f t="shared" si="3"/>
        <v>2026</v>
      </c>
    </row>
    <row r="47" spans="1:9">
      <c r="A47" s="2">
        <v>46174</v>
      </c>
      <c r="B47" t="s">
        <v>15</v>
      </c>
      <c r="C47" t="s">
        <v>21</v>
      </c>
      <c r="D47" t="s">
        <v>25</v>
      </c>
      <c r="E47" s="3">
        <v>9</v>
      </c>
      <c r="F47" s="3">
        <v>80</v>
      </c>
      <c r="G47" s="3">
        <v>720</v>
      </c>
      <c r="H47" s="4" t="str">
        <f t="shared" si="2"/>
        <v>June</v>
      </c>
      <c r="I47" s="4">
        <f t="shared" si="3"/>
        <v>2026</v>
      </c>
    </row>
    <row r="48" spans="1:9">
      <c r="A48" s="2">
        <v>46204</v>
      </c>
      <c r="B48" t="s">
        <v>18</v>
      </c>
      <c r="C48" t="s">
        <v>16</v>
      </c>
      <c r="D48" t="s">
        <v>11</v>
      </c>
      <c r="E48" s="3">
        <v>3</v>
      </c>
      <c r="F48" s="3">
        <v>1200</v>
      </c>
      <c r="G48" s="3">
        <v>3600</v>
      </c>
      <c r="H48" s="4" t="str">
        <f t="shared" si="2"/>
        <v>July</v>
      </c>
      <c r="I48" s="4">
        <f t="shared" si="3"/>
        <v>2026</v>
      </c>
    </row>
    <row r="49" spans="1:9">
      <c r="A49" s="2">
        <v>46235</v>
      </c>
      <c r="B49" t="s">
        <v>12</v>
      </c>
      <c r="C49" t="s">
        <v>16</v>
      </c>
      <c r="D49" t="s">
        <v>14</v>
      </c>
      <c r="E49" s="3">
        <v>14</v>
      </c>
      <c r="F49" s="3">
        <v>300</v>
      </c>
      <c r="G49" s="3">
        <v>4200</v>
      </c>
      <c r="H49" s="4" t="str">
        <f t="shared" si="2"/>
        <v>August</v>
      </c>
      <c r="I49" s="4">
        <f t="shared" si="3"/>
        <v>2026</v>
      </c>
    </row>
    <row r="50" spans="1:9">
      <c r="A50" s="2">
        <v>46266</v>
      </c>
      <c r="B50" t="s">
        <v>18</v>
      </c>
      <c r="C50" t="s">
        <v>24</v>
      </c>
      <c r="D50" t="s">
        <v>22</v>
      </c>
      <c r="E50" s="3">
        <v>2</v>
      </c>
      <c r="F50" s="3">
        <v>25</v>
      </c>
      <c r="G50" s="3">
        <v>50</v>
      </c>
      <c r="H50" s="4" t="str">
        <f t="shared" si="2"/>
        <v>September</v>
      </c>
      <c r="I50" s="4">
        <f t="shared" si="3"/>
        <v>2026</v>
      </c>
    </row>
    <row r="51" spans="1:9">
      <c r="A51" s="2">
        <v>46296</v>
      </c>
      <c r="B51" t="s">
        <v>12</v>
      </c>
      <c r="C51" t="s">
        <v>24</v>
      </c>
      <c r="D51" t="s">
        <v>22</v>
      </c>
      <c r="E51" s="3">
        <v>11</v>
      </c>
      <c r="F51" s="3">
        <v>25</v>
      </c>
      <c r="G51" s="3">
        <v>275</v>
      </c>
      <c r="H51" s="4" t="str">
        <f t="shared" si="2"/>
        <v>October</v>
      </c>
      <c r="I51" s="4">
        <f t="shared" si="3"/>
        <v>2026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D2" sqref="D2:E9"/>
    </sheetView>
  </sheetViews>
  <sheetFormatPr defaultColWidth="8.72727272727273" defaultRowHeight="14.5" outlineLevelCol="4"/>
  <cols>
    <col min="1" max="1" width="11.6363636363636"/>
    <col min="2" max="2" width="17.6363636363636"/>
    <col min="4" max="4" width="11.6363636363636"/>
    <col min="5" max="5" width="17.6363636363636"/>
  </cols>
  <sheetData>
    <row r="1" spans="1:5">
      <c r="A1" t="s">
        <v>1</v>
      </c>
      <c r="B1" t="s">
        <v>27</v>
      </c>
    </row>
    <row r="2" spans="1:5">
      <c r="A2" t="s">
        <v>18</v>
      </c>
      <c r="B2">
        <v>14335</v>
      </c>
      <c r="C2"/>
      <c r="D2" t="s">
        <v>3</v>
      </c>
      <c r="E2" t="s">
        <v>27</v>
      </c>
    </row>
    <row r="3" spans="1:5">
      <c r="A3" t="s">
        <v>12</v>
      </c>
      <c r="B3">
        <v>81865</v>
      </c>
      <c r="C3"/>
      <c r="D3" t="s">
        <v>25</v>
      </c>
      <c r="E3">
        <v>5680</v>
      </c>
    </row>
    <row r="4" spans="1:5">
      <c r="A4" t="s">
        <v>15</v>
      </c>
      <c r="B4">
        <v>22580</v>
      </c>
      <c r="C4"/>
      <c r="D4" t="s">
        <v>17</v>
      </c>
      <c r="E4">
        <v>4980</v>
      </c>
    </row>
    <row r="5" spans="1:5">
      <c r="A5" t="s">
        <v>9</v>
      </c>
      <c r="B5">
        <v>44920</v>
      </c>
      <c r="C5"/>
      <c r="D5" t="s">
        <v>11</v>
      </c>
      <c r="E5">
        <v>109200</v>
      </c>
    </row>
    <row r="6" spans="1:5">
      <c r="A6" t="s">
        <v>28</v>
      </c>
      <c r="B6">
        <v>163700</v>
      </c>
      <c r="C6"/>
      <c r="D6" t="s">
        <v>14</v>
      </c>
      <c r="E6">
        <v>31800</v>
      </c>
    </row>
    <row r="7" spans="1:5">
      <c r="D7" t="s">
        <v>22</v>
      </c>
      <c r="E7">
        <v>600</v>
      </c>
    </row>
    <row r="8" spans="1:5">
      <c r="D8" t="s">
        <v>19</v>
      </c>
      <c r="E8">
        <v>11440</v>
      </c>
    </row>
    <row r="9" spans="1:5">
      <c r="D9" t="s">
        <v>28</v>
      </c>
      <c r="E9">
        <v>163700</v>
      </c>
    </row>
    <row r="11" spans="1:5">
      <c r="A11" t="s">
        <v>7</v>
      </c>
      <c r="B11" t="s">
        <v>27</v>
      </c>
    </row>
    <row r="12" spans="1:5">
      <c r="A12" t="s">
        <v>29</v>
      </c>
      <c r="B12">
        <v>93915</v>
      </c>
    </row>
    <row r="13" spans="1:5">
      <c r="A13" t="s">
        <v>30</v>
      </c>
      <c r="B13">
        <v>16140</v>
      </c>
    </row>
    <row r="14" spans="1:5">
      <c r="A14" t="s">
        <v>31</v>
      </c>
      <c r="B14">
        <v>11400</v>
      </c>
    </row>
    <row r="15" spans="1:5">
      <c r="A15" t="s">
        <v>32</v>
      </c>
      <c r="B15">
        <v>10800</v>
      </c>
    </row>
    <row r="16" spans="1:5">
      <c r="A16" t="s">
        <v>33</v>
      </c>
      <c r="B16">
        <v>5320</v>
      </c>
    </row>
    <row r="17" spans="1:2">
      <c r="A17" t="s">
        <v>34</v>
      </c>
      <c r="B17">
        <v>1840</v>
      </c>
    </row>
    <row r="18" spans="1:2">
      <c r="A18" t="s">
        <v>35</v>
      </c>
      <c r="B18">
        <v>6900</v>
      </c>
    </row>
    <row r="19" spans="1:2">
      <c r="A19" t="s">
        <v>36</v>
      </c>
      <c r="B19">
        <v>7280</v>
      </c>
    </row>
    <row r="20" spans="1:2">
      <c r="A20" t="s">
        <v>37</v>
      </c>
      <c r="B20">
        <v>2450</v>
      </c>
    </row>
    <row r="21" spans="1:2">
      <c r="A21" t="s">
        <v>38</v>
      </c>
      <c r="B21">
        <v>755</v>
      </c>
    </row>
    <row r="22" spans="1:2">
      <c r="A22" t="s">
        <v>39</v>
      </c>
      <c r="B22">
        <v>3300</v>
      </c>
    </row>
    <row r="23" spans="1:2">
      <c r="A23" t="s">
        <v>40</v>
      </c>
      <c r="B23">
        <v>3600</v>
      </c>
    </row>
    <row r="24" spans="1:2">
      <c r="A24" t="s">
        <v>28</v>
      </c>
      <c r="B24">
        <v>163700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M3"/>
  <sheetViews>
    <sheetView tabSelected="1" zoomScale="72" zoomScaleNormal="72" workbookViewId="0">
      <selection activeCell="F22" sqref="F22"/>
    </sheetView>
  </sheetViews>
  <sheetFormatPr defaultColWidth="8.72727272727273" defaultRowHeight="14.5" outlineLevelRow="2"/>
  <cols>
    <col min="9" max="9" width="28.5454545454545" customWidth="1"/>
  </cols>
  <sheetData>
    <row r="3" ht="26" spans="6:13">
      <c r="F3" s="1" t="s">
        <v>41</v>
      </c>
      <c r="G3" s="1"/>
      <c r="H3" s="1"/>
      <c r="I3" s="1"/>
      <c r="J3" s="1"/>
      <c r="K3" s="1"/>
      <c r="L3" s="1"/>
      <c r="M3" s="1"/>
    </row>
  </sheetData>
  <mergeCells count="1">
    <mergeCell ref="F3:M3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Tutu</cp:lastModifiedBy>
  <dcterms:created xsi:type="dcterms:W3CDTF">2026-07-15T09:11:00Z</dcterms:created>
  <dcterms:modified xsi:type="dcterms:W3CDTF">2026-07-15T10:46:59Z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EF53FC5E1A6B41FA9F378233BE24824E_13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